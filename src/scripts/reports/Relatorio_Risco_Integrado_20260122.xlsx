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i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0"/>
    </font>
    <font>
      <b val="1"/>
      <sz val="10"/>
    </font>
    <font>
      <sz val="10"/>
    </font>
    <font>
      <b val="1"/>
      <color rgb="00006100"/>
      <sz val="10"/>
    </font>
    <font>
      <b val="1"/>
      <color rgb="00C00000"/>
      <sz val="10"/>
    </font>
    <font>
      <b val="1"/>
      <color rgb="009C0006"/>
      <sz val="10"/>
    </font>
    <font>
      <b val="1"/>
      <color rgb="00FF0000"/>
      <sz val="9"/>
    </font>
    <font>
      <b val="1"/>
      <color rgb="00003366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B30000"/>
        <bgColor rgb="00B3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1" pivotButton="0" quotePrefix="0" xfId="0"/>
    <xf numFmtId="0" fontId="1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Risco x Retorno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pPr>
              <a:solidFill xmlns:a="http://schemas.openxmlformats.org/drawingml/2006/main">
                <a:srgbClr val="003366"/>
              </a:solidFill>
              <a:ln xmlns:a="http://schemas.openxmlformats.org/drawingml/2006/main">
                <a:prstDash val="solid"/>
              </a:ln>
            </spPr>
          </marker>
          <xVal>
            <numRef>
              <f>'Dashboard Risco'!$E$7:$E$15</f>
            </numRef>
          </xVal>
          <yVal>
            <numRef>
              <f>'Dashboard Risco'!$D$7:$D$15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Test: Comparativo de VaR vs CVaR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Risco'!N6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Risco'!$N$7:$N$15</f>
            </numRef>
          </val>
        </ser>
        <ser>
          <idx val="1"/>
          <order val="1"/>
          <tx>
            <strRef>
              <f>'Dashboard Risco'!O6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Risco'!$O$7:$O$15</f>
            </numRef>
          </val>
        </ser>
        <ser>
          <idx val="2"/>
          <order val="2"/>
          <tx>
            <strRef>
              <f>'Dashboard Risco'!P6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Risco'!$P$7:$P$15</f>
            </numRef>
          </val>
        </ser>
        <ser>
          <idx val="3"/>
          <order val="3"/>
          <tx>
            <strRef>
              <f>'Dashboard Risco'!Q6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Risco'!$Q$7:$Q$15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Perda Esperada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4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11" customWidth="1" min="10" max="10"/>
  </cols>
  <sheetData>
    <row r="2">
      <c r="B2" s="1" t="inlineStr">
        <is>
          <t>MONITOR DE RISCO QUANTITATIVO</t>
        </is>
      </c>
    </row>
    <row r="3">
      <c r="B3" t="inlineStr">
        <is>
          <t>Data: 22/01/2026 | RF: 10.75%</t>
        </is>
      </c>
    </row>
    <row r="6">
      <c r="B6" s="2" t="inlineStr">
        <is>
          <t>Ativo</t>
        </is>
      </c>
      <c r="C6" s="2" t="inlineStr">
        <is>
          <t>Setor</t>
        </is>
      </c>
      <c r="D6" s="2" t="inlineStr">
        <is>
          <t>Retorno</t>
        </is>
      </c>
      <c r="E6" s="2" t="inlineStr">
        <is>
          <t>Volat.</t>
        </is>
      </c>
      <c r="F6" s="2" t="inlineStr">
        <is>
          <t>Sharpe</t>
        </is>
      </c>
      <c r="G6" s="2" t="inlineStr">
        <is>
          <t>VaR 95%</t>
        </is>
      </c>
      <c r="H6" s="2" t="inlineStr">
        <is>
          <t>Skew</t>
        </is>
      </c>
      <c r="I6" s="2" t="inlineStr">
        <is>
          <t>Kurt</t>
        </is>
      </c>
      <c r="J6" s="2" t="inlineStr">
        <is>
          <t>Max DD</t>
        </is>
      </c>
      <c r="M6" t="inlineStr">
        <is>
          <t>Ativo</t>
        </is>
      </c>
      <c r="N6" t="inlineStr">
        <is>
          <t>VaR Normal</t>
        </is>
      </c>
      <c r="O6" t="inlineStr">
        <is>
          <t>VaR Histórico</t>
        </is>
      </c>
      <c r="P6" t="inlineStr">
        <is>
          <t>VaR Cornish-Fisher</t>
        </is>
      </c>
      <c r="Q6" t="inlineStr">
        <is>
          <t>CVaR (Extreme)</t>
        </is>
      </c>
    </row>
    <row r="7">
      <c r="B7" s="3" t="inlineStr">
        <is>
          <t>BPAC11.SA</t>
        </is>
      </c>
      <c r="C7" s="4" t="inlineStr">
        <is>
          <t>Financeiro</t>
        </is>
      </c>
      <c r="D7" s="5" t="n">
        <v>0.6566043775040942</v>
      </c>
      <c r="E7" s="6" t="n">
        <v>0.2871287099844068</v>
      </c>
      <c r="F7" s="7" t="n">
        <v>0.6345335743320522</v>
      </c>
      <c r="G7" s="6" t="n">
        <v>0.02616473833112032</v>
      </c>
      <c r="H7" s="7" t="n">
        <v>0.4988975820974173</v>
      </c>
      <c r="I7" s="8" t="n">
        <v>8.884600541993107</v>
      </c>
      <c r="J7" s="6" t="n">
        <v>-0.2873483325450311</v>
      </c>
      <c r="M7" t="inlineStr">
        <is>
          <t>BPAC11.SA</t>
        </is>
      </c>
      <c r="N7" t="n">
        <v>0.02854903272975523</v>
      </c>
      <c r="O7" t="n">
        <v>0.02616473833112032</v>
      </c>
      <c r="P7" t="n">
        <v>0.02375622215785075</v>
      </c>
      <c r="Q7" t="n">
        <v>0.03859420235745623</v>
      </c>
    </row>
    <row r="8">
      <c r="B8" s="3" t="inlineStr">
        <is>
          <t>ITUB4.SA</t>
        </is>
      </c>
      <c r="C8" s="4" t="inlineStr">
        <is>
          <t>Financeiro</t>
        </is>
      </c>
      <c r="D8" s="5" t="n">
        <v>0.7751168321117914</v>
      </c>
      <c r="E8" s="6" t="n">
        <v>0.1975637807347752</v>
      </c>
      <c r="F8" s="7" t="n">
        <v>1.153536066056538</v>
      </c>
      <c r="G8" s="6" t="n">
        <v>0.01880308548212618</v>
      </c>
      <c r="H8" s="7" t="n">
        <v>0.1803064221590882</v>
      </c>
      <c r="I8" s="8" t="n">
        <v>4.533489773344957</v>
      </c>
      <c r="J8" s="6" t="n">
        <v>-0.1890402417042917</v>
      </c>
      <c r="M8" t="inlineStr">
        <is>
          <t>ITUB4.SA</t>
        </is>
      </c>
      <c r="N8" t="n">
        <v>0.01922480154909612</v>
      </c>
      <c r="O8" t="n">
        <v>0.01880308548212618</v>
      </c>
      <c r="P8" t="n">
        <v>0.01819522082580654</v>
      </c>
      <c r="Q8" t="n">
        <v>0.02589286758191683</v>
      </c>
    </row>
    <row r="9">
      <c r="B9" s="3" t="inlineStr">
        <is>
          <t>LREN3.SA</t>
        </is>
      </c>
      <c r="C9" s="4" t="inlineStr">
        <is>
          <t>Varejo</t>
        </is>
      </c>
      <c r="D9" s="5" t="n">
        <v>0.1149689608953877</v>
      </c>
      <c r="E9" s="6" t="n">
        <v>0.4203278547121156</v>
      </c>
      <c r="F9" s="7" t="n">
        <v>-0.1216177891314658</v>
      </c>
      <c r="G9" s="9" t="n">
        <v>0.041895716948908</v>
      </c>
      <c r="H9" s="7" t="n">
        <v>-0.4397870594991575</v>
      </c>
      <c r="I9" s="8" t="n">
        <v>4.800522197929492</v>
      </c>
      <c r="J9" s="6" t="n">
        <v>-0.3716679123178787</v>
      </c>
      <c r="M9" t="inlineStr">
        <is>
          <t>LREN3.SA</t>
        </is>
      </c>
      <c r="N9" t="n">
        <v>0.04293854397497271</v>
      </c>
      <c r="O9" t="n">
        <v>0.041895716948908</v>
      </c>
      <c r="P9" t="n">
        <v>0.04518809911793557</v>
      </c>
      <c r="Q9" t="n">
        <v>0.06123884346392283</v>
      </c>
    </row>
    <row r="10">
      <c r="B10" s="3" t="inlineStr">
        <is>
          <t>MGLU3.SA</t>
        </is>
      </c>
      <c r="C10" s="4" t="inlineStr">
        <is>
          <t>Varejo</t>
        </is>
      </c>
      <c r="D10" s="10" t="n">
        <v>-0.4775550020534818</v>
      </c>
      <c r="E10" s="6" t="n">
        <v>0.6252188571762953</v>
      </c>
      <c r="F10" s="7" t="n">
        <v>-0.61829721137648</v>
      </c>
      <c r="G10" s="9" t="n">
        <v>0.06516399006688646</v>
      </c>
      <c r="H10" s="7" t="n">
        <v>0.2378560393333962</v>
      </c>
      <c r="I10" s="8" t="n">
        <v>3.535469426245354</v>
      </c>
      <c r="J10" s="6" t="n">
        <v>-0.7382883022272179</v>
      </c>
      <c r="M10" t="inlineStr">
        <is>
          <t>MGLU3.SA</t>
        </is>
      </c>
      <c r="N10" t="n">
        <v>0.06524410406971444</v>
      </c>
      <c r="O10" t="n">
        <v>0.06516399006688646</v>
      </c>
      <c r="P10" t="n">
        <v>0.06211686541626922</v>
      </c>
      <c r="Q10" t="n">
        <v>0.08029959158409633</v>
      </c>
    </row>
    <row r="11">
      <c r="B11" s="3" t="inlineStr">
        <is>
          <t>PETR4.SA</t>
        </is>
      </c>
      <c r="C11" s="4" t="inlineStr">
        <is>
          <t>Commodity</t>
        </is>
      </c>
      <c r="D11" s="5" t="n">
        <v>0.2097548760299555</v>
      </c>
      <c r="E11" s="6" t="n">
        <v>0.2405912298035398</v>
      </c>
      <c r="F11" s="7" t="n">
        <v>-0.0281529515675806</v>
      </c>
      <c r="G11" s="6" t="n">
        <v>0.02204712214890448</v>
      </c>
      <c r="H11" s="7" t="n">
        <v>-0.67104154475453</v>
      </c>
      <c r="I11" s="8" t="n">
        <v>7.874559392657144</v>
      </c>
      <c r="J11" s="6" t="n">
        <v>-0.2105585934686205</v>
      </c>
      <c r="M11" t="inlineStr">
        <is>
          <t>PETR4.SA</t>
        </is>
      </c>
      <c r="N11" t="n">
        <v>0.0244078220406766</v>
      </c>
      <c r="O11" t="n">
        <v>0.02204712214890448</v>
      </c>
      <c r="P11" t="n">
        <v>0.02567840158207813</v>
      </c>
      <c r="Q11" t="n">
        <v>0.03812745021972596</v>
      </c>
    </row>
    <row r="12">
      <c r="B12" s="3" t="inlineStr">
        <is>
          <t>TAEE11.SA</t>
        </is>
      </c>
      <c r="C12" s="4" t="inlineStr">
        <is>
          <t>Defensiva</t>
        </is>
      </c>
      <c r="D12" s="5" t="n">
        <v>0.3043882724761802</v>
      </c>
      <c r="E12" s="6" t="n">
        <v>0.1565264569352429</v>
      </c>
      <c r="F12" s="7" t="n">
        <v>0.2287971811824814</v>
      </c>
      <c r="G12" s="6" t="n">
        <v>0.01471073185288537</v>
      </c>
      <c r="H12" s="7" t="n">
        <v>0.2017029551260653</v>
      </c>
      <c r="I12" s="8" t="n">
        <v>5.806289477853788</v>
      </c>
      <c r="J12" s="6" t="n">
        <v>-0.1222222222222219</v>
      </c>
      <c r="M12" t="inlineStr">
        <is>
          <t>TAEE11.SA</t>
        </is>
      </c>
      <c r="N12" t="n">
        <v>0.01562238019014723</v>
      </c>
      <c r="O12" t="n">
        <v>0.01471073185288537</v>
      </c>
      <c r="P12" t="n">
        <v>0.01449222009305676</v>
      </c>
      <c r="Q12" t="n">
        <v>0.02139250656872492</v>
      </c>
    </row>
    <row r="13">
      <c r="B13" s="3" t="inlineStr">
        <is>
          <t>VALE3.SA</t>
        </is>
      </c>
      <c r="C13" s="4" t="inlineStr">
        <is>
          <t>Commodity</t>
        </is>
      </c>
      <c r="D13" s="5" t="n">
        <v>0.5046550851111984</v>
      </c>
      <c r="E13" s="6" t="n">
        <v>0.2298341922995521</v>
      </c>
      <c r="F13" s="7" t="n">
        <v>0.5271196423540336</v>
      </c>
      <c r="G13" s="6" t="n">
        <v>0.02193685762961011</v>
      </c>
      <c r="H13" s="7" t="n">
        <v>0.3965464866781573</v>
      </c>
      <c r="I13" s="8" t="n">
        <v>5.20102992316315</v>
      </c>
      <c r="J13" s="6" t="n">
        <v>-0.2009724327791512</v>
      </c>
      <c r="M13" t="inlineStr">
        <is>
          <t>VALE3.SA</t>
        </is>
      </c>
      <c r="N13" t="n">
        <v>0.02286906626399034</v>
      </c>
      <c r="O13" t="n">
        <v>0.02193685762961011</v>
      </c>
      <c r="P13" t="n">
        <v>0.02055352495125735</v>
      </c>
      <c r="Q13" t="n">
        <v>0.02980784728120168</v>
      </c>
    </row>
    <row r="14">
      <c r="B14" s="3" t="inlineStr">
        <is>
          <t>WEGE3.SA</t>
        </is>
      </c>
      <c r="C14" s="4" t="inlineStr">
        <is>
          <t>Defensiva</t>
        </is>
      </c>
      <c r="D14" s="5" t="n">
        <v>0.5307018690110685</v>
      </c>
      <c r="E14" s="6" t="n">
        <v>0.2829231122359809</v>
      </c>
      <c r="F14" s="7" t="n">
        <v>0.4659358635603339</v>
      </c>
      <c r="G14" s="6" t="n">
        <v>0.02226681630535617</v>
      </c>
      <c r="H14" s="7" t="n">
        <v>-0.6036997263669636</v>
      </c>
      <c r="I14" s="8" t="n">
        <v>11.34011739723072</v>
      </c>
      <c r="J14" s="6" t="n">
        <v>-0.3819137109140955</v>
      </c>
      <c r="M14" t="inlineStr">
        <is>
          <t>WEGE3.SA</t>
        </is>
      </c>
      <c r="N14" t="n">
        <v>0.02827446967605873</v>
      </c>
      <c r="O14" t="n">
        <v>0.02226681630535617</v>
      </c>
      <c r="P14" t="n">
        <v>0.0282112774109912</v>
      </c>
      <c r="Q14" t="n">
        <v>0.04214990931319768</v>
      </c>
    </row>
    <row r="15">
      <c r="B15" s="3" t="inlineStr">
        <is>
          <t>^BVSP</t>
        </is>
      </c>
      <c r="C15" s="4" t="inlineStr">
        <is>
          <t>Benchmark</t>
        </is>
      </c>
      <c r="D15" s="5" t="n">
        <v>0.3571428571428541</v>
      </c>
      <c r="E15" s="6" t="n">
        <v>0.1430042771833785</v>
      </c>
      <c r="F15" s="7" t="n">
        <v>0.411796423821242</v>
      </c>
      <c r="G15" s="6" t="n">
        <v>0.01326945519721992</v>
      </c>
      <c r="H15" s="7" t="n">
        <v>-0.08561347371702238</v>
      </c>
      <c r="I15" s="8" t="n">
        <v>4.969149936099046</v>
      </c>
      <c r="J15" s="6" t="n">
        <v>-0.1369626630941289</v>
      </c>
      <c r="M15" t="inlineStr">
        <is>
          <t>^BVSP</t>
        </is>
      </c>
      <c r="N15" t="n">
        <v>0.01415126549827602</v>
      </c>
      <c r="O15" t="n">
        <v>0.01326945519721992</v>
      </c>
      <c r="P15" t="n">
        <v>0.01401141163829136</v>
      </c>
      <c r="Q15" t="n">
        <v>0.01888279093475428</v>
      </c>
    </row>
    <row r="39">
      <c r="B39" s="11" t="inlineStr">
        <is>
          <t>⚠️ ALERTA DE RISCO (TOP 3)</t>
        </is>
      </c>
    </row>
    <row r="40">
      <c r="B40" s="12" t="inlineStr">
        <is>
          <t>WEGE3.SA</t>
        </is>
      </c>
      <c r="C40" s="13" t="inlineStr">
        <is>
          <t>11.34</t>
        </is>
      </c>
      <c r="D40" s="14" t="inlineStr">
        <is>
          <t>CRÍTICO</t>
        </is>
      </c>
    </row>
    <row r="41">
      <c r="B41" s="12" t="inlineStr">
        <is>
          <t>BPAC11.SA</t>
        </is>
      </c>
      <c r="C41" s="13" t="inlineStr">
        <is>
          <t>8.88</t>
        </is>
      </c>
      <c r="D41" s="14" t="inlineStr">
        <is>
          <t>CRÍTICO</t>
        </is>
      </c>
    </row>
    <row r="42">
      <c r="B42" s="12" t="inlineStr">
        <is>
          <t>PETR4.SA</t>
        </is>
      </c>
      <c r="C42" s="13" t="inlineStr">
        <is>
          <t>7.87</t>
        </is>
      </c>
      <c r="D42" s="14" t="inlineStr">
        <is>
          <t>CRÍTICO</t>
        </is>
      </c>
    </row>
    <row r="44">
      <c r="B44" s="15" t="inlineStr">
        <is>
          <t>GLOSSÁRIO</t>
        </is>
      </c>
    </row>
    <row r="45">
      <c r="B45" s="16" t="inlineStr">
        <is>
          <t>VaR Cornish-Fisher</t>
        </is>
      </c>
      <c r="C45" s="17" t="inlineStr">
        <is>
          <t>VaR Ajustado para caudas gordas (Mais realista).</t>
        </is>
      </c>
      <c r="D45" s="13" t="n"/>
      <c r="E45" s="13" t="n"/>
      <c r="F45" s="13" t="n"/>
      <c r="G45" s="13" t="n"/>
      <c r="H45" s="13" t="n"/>
      <c r="I45" s="13" t="n"/>
      <c r="J45" s="13" t="n"/>
    </row>
    <row r="46">
      <c r="B46" s="16" t="inlineStr">
        <is>
          <t>CVaR (Extreme)</t>
        </is>
      </c>
      <c r="C46" s="17" t="inlineStr">
        <is>
          <t>Média de perda nos piores cenários (Beyond VaR).</t>
        </is>
      </c>
      <c r="D46" s="13" t="n"/>
      <c r="E46" s="13" t="n"/>
      <c r="F46" s="13" t="n"/>
      <c r="G46" s="13" t="n"/>
      <c r="H46" s="13" t="n"/>
      <c r="I46" s="13" t="n"/>
      <c r="J46" s="13" t="n"/>
    </row>
    <row r="47">
      <c r="B47" s="16" t="inlineStr">
        <is>
          <t>Kurtosis</t>
        </is>
      </c>
      <c r="C47" s="17" t="inlineStr">
        <is>
          <t>Risco de Cauda (Cisne Negro). &gt; 3 é perigoso.</t>
        </is>
      </c>
      <c r="D47" s="13" t="n"/>
      <c r="E47" s="13" t="n"/>
      <c r="F47" s="13" t="n"/>
      <c r="G47" s="13" t="n"/>
      <c r="H47" s="13" t="n"/>
      <c r="I47" s="13" t="n"/>
      <c r="J47" s="13" t="n"/>
    </row>
  </sheetData>
  <mergeCells count="4">
    <mergeCell ref="B39:D39"/>
    <mergeCell ref="C45:J45"/>
    <mergeCell ref="C46:J46"/>
    <mergeCell ref="C47:J47"/>
  </mergeCells>
  <conditionalFormatting sqref="E7:E15">
    <cfRule type="dataBar" priority="1">
      <dataBar>
        <cfvo type="min"/>
        <cfvo type="max"/>
        <color rgb="00FF6384"/>
      </dataBar>
    </cfRule>
  </conditionalFormatting>
  <conditionalFormatting sqref="F7:F15">
    <cfRule type="dataBar" priority="2">
      <dataBar>
        <cfvo type="min"/>
        <cfvo type="max"/>
        <color rgb="0036A2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2026-01-22T05:35:20Z</dcterms:created>
  <dcterms:modified xmlns:dcterms="http://purl.org/dc/terms/" xmlns:xsi="http://www.w3.org/2001/XMLSchema-instance" xsi:type="dcterms:W3CDTF">2026-01-22T05:35:20Z</dcterms:modified>
</cp:coreProperties>
</file>