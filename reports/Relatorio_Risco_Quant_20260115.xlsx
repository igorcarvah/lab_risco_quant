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Ris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003366"/>
      <sz val="16"/>
    </font>
    <font>
      <b val="1"/>
      <color rgb="00FFFFFF"/>
    </font>
    <font>
      <b val="1"/>
    </font>
    <font>
      <b val="1"/>
      <color rgb="00C00000"/>
    </font>
    <font>
      <b val="1"/>
      <color rgb="00003366"/>
      <sz val="12"/>
    </font>
  </fonts>
  <fills count="3">
    <fill>
      <patternFill/>
    </fill>
    <fill>
      <patternFill patternType="gray125"/>
    </fill>
    <fill>
      <patternFill patternType="solid">
        <fgColor rgb="00003366"/>
        <bgColor rgb="00003366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0" fontId="0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Risco (Volatilidade) x Retorno Ajustado (Sharpe)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circle"/>
            <spPr>
              <a:solidFill xmlns:a="http://schemas.openxmlformats.org/drawingml/2006/main">
                <a:srgbClr val="003366"/>
              </a:solidFill>
              <a:ln xmlns:a="http://schemas.openxmlformats.org/drawingml/2006/main">
                <a:prstDash val="solid"/>
              </a:ln>
            </spPr>
          </marker>
          <xVal>
            <numRef>
              <f>'Dashboard Risco'!$D$6:$D$14</f>
            </numRef>
          </xVal>
          <yVal>
            <numRef>
              <f>'Dashboard Risco'!$E$6:$E$14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Volatilidade Anualizada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Índice de Sharpe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/>
    <row r="2">
      <c r="B2" s="1" t="inlineStr">
        <is>
          <t>MONITOR DE RISCO QUANTITATIVO (SQL BACKEND)</t>
        </is>
      </c>
    </row>
    <row r="3">
      <c r="B3" t="inlineStr">
        <is>
          <t>Gerado em: 15/01/2026 22:16</t>
        </is>
      </c>
    </row>
    <row r="4"/>
    <row r="5"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t="inlineStr"/>
      <c r="B6" s="3" t="inlineStr">
        <is>
          <t>Ativo</t>
        </is>
      </c>
      <c r="C6" s="3" t="inlineStr">
        <is>
          <t>Setor</t>
        </is>
      </c>
      <c r="D6" s="4" t="inlineStr">
        <is>
          <t>Volatilidade (aa)</t>
        </is>
      </c>
      <c r="E6" s="3" t="inlineStr">
        <is>
          <t>Sharpe Ratio</t>
        </is>
      </c>
      <c r="F6" s="4" t="inlineStr">
        <is>
          <t>VaR 95% (1d)</t>
        </is>
      </c>
      <c r="G6" s="3" t="inlineStr">
        <is>
          <t>Skewness</t>
        </is>
      </c>
      <c r="H6" s="5" t="inlineStr">
        <is>
          <t>Kurtosis</t>
        </is>
      </c>
      <c r="I6" s="4" t="inlineStr">
        <is>
          <t>Max Drawdown</t>
        </is>
      </c>
    </row>
    <row r="7">
      <c r="A7" t="inlineStr"/>
      <c r="B7" s="3" t="inlineStr">
        <is>
          <t>BPAC11.SA</t>
        </is>
      </c>
      <c r="C7" s="3" t="inlineStr">
        <is>
          <t>Financeiro</t>
        </is>
      </c>
      <c r="D7" s="4" t="n">
        <v>0.2858926617026338</v>
      </c>
      <c r="E7" s="3" t="n">
        <v>0.5097425133978846</v>
      </c>
      <c r="F7" s="4" t="n">
        <v>-0.02622762841116693</v>
      </c>
      <c r="G7" s="3" t="n">
        <v>0.4944741326992208</v>
      </c>
      <c r="H7" s="5" t="n">
        <v>8.991866181292702</v>
      </c>
      <c r="I7" s="4" t="n">
        <v>-0.2873483851101504</v>
      </c>
    </row>
    <row r="8">
      <c r="A8" t="inlineStr"/>
      <c r="B8" s="3" t="inlineStr">
        <is>
          <t>ITUB4.SA</t>
        </is>
      </c>
      <c r="C8" s="3" t="inlineStr">
        <is>
          <t>Financeiro</t>
        </is>
      </c>
      <c r="D8" s="4" t="n">
        <v>0.1955739648762981</v>
      </c>
      <c r="E8" s="3" t="n">
        <v>0.8528558625577317</v>
      </c>
      <c r="F8" s="4" t="n">
        <v>-0.01883258370640331</v>
      </c>
      <c r="G8" s="3" t="n">
        <v>0.1303470667528334</v>
      </c>
      <c r="H8" s="5" t="n">
        <v>4.454558718098004</v>
      </c>
      <c r="I8" s="4" t="n">
        <v>-0.1890401208788415</v>
      </c>
    </row>
    <row r="9">
      <c r="A9" t="inlineStr"/>
      <c r="B9" s="3" t="inlineStr">
        <is>
          <t>LREN3.SA</t>
        </is>
      </c>
      <c r="C9" s="3" t="inlineStr">
        <is>
          <t>Varejo</t>
        </is>
      </c>
      <c r="D9" s="4" t="n">
        <v>0.4201543925849949</v>
      </c>
      <c r="E9" s="3" t="n">
        <v>-0.06326603174103719</v>
      </c>
      <c r="F9" s="6" t="n">
        <v>-0.04205524050733865</v>
      </c>
      <c r="G9" s="3" t="n">
        <v>-0.4590140021664609</v>
      </c>
      <c r="H9" s="5" t="n">
        <v>4.77201271222346</v>
      </c>
      <c r="I9" s="4" t="n">
        <v>-0.371667912317878</v>
      </c>
    </row>
    <row r="10">
      <c r="A10" t="inlineStr"/>
      <c r="B10" s="3" t="inlineStr">
        <is>
          <t>MGLU3.SA</t>
        </is>
      </c>
      <c r="C10" s="3" t="inlineStr">
        <is>
          <t>Varejo</t>
        </is>
      </c>
      <c r="D10" s="4" t="n">
        <v>0.6264152628940388</v>
      </c>
      <c r="E10" s="3" t="n">
        <v>-0.5112273476151182</v>
      </c>
      <c r="F10" s="4" t="n">
        <v>-0.06545053871116087</v>
      </c>
      <c r="G10" s="3" t="n">
        <v>0.2433176890043735</v>
      </c>
      <c r="H10" s="5" t="n">
        <v>3.536007513297601</v>
      </c>
      <c r="I10" s="4" t="n">
        <v>-0.738288302227218</v>
      </c>
    </row>
    <row r="11">
      <c r="A11" t="inlineStr"/>
      <c r="B11" s="3" t="inlineStr">
        <is>
          <t>PETR4.SA</t>
        </is>
      </c>
      <c r="C11" s="3" t="inlineStr">
        <is>
          <t>Commodity</t>
        </is>
      </c>
      <c r="D11" s="4" t="n">
        <v>0.2395352825129553</v>
      </c>
      <c r="E11" s="3" t="n">
        <v>-0.04196342670732931</v>
      </c>
      <c r="F11" s="4" t="n">
        <v>-0.02209767456112924</v>
      </c>
      <c r="G11" s="3" t="n">
        <v>-0.6845450169748994</v>
      </c>
      <c r="H11" s="5" t="n">
        <v>7.953178570073713</v>
      </c>
      <c r="I11" s="4" t="n">
        <v>-0.2105585615399471</v>
      </c>
    </row>
    <row r="12">
      <c r="A12" t="inlineStr"/>
      <c r="B12" s="3" t="inlineStr">
        <is>
          <t>TAEE11.SA</t>
        </is>
      </c>
      <c r="C12" s="3" t="inlineStr">
        <is>
          <t>Defensiva</t>
        </is>
      </c>
      <c r="D12" s="4" t="n">
        <v>0.1564293142087801</v>
      </c>
      <c r="E12" s="3" t="n">
        <v>0.1109489204810871</v>
      </c>
      <c r="F12" s="4" t="n">
        <v>-0.01472378868135609</v>
      </c>
      <c r="G12" s="3" t="n">
        <v>0.2141233051030109</v>
      </c>
      <c r="H12" s="5" t="n">
        <v>5.831496996825615</v>
      </c>
      <c r="I12" s="4" t="n">
        <v>-0.1188888549804685</v>
      </c>
    </row>
    <row r="13">
      <c r="A13" t="inlineStr"/>
      <c r="B13" s="3" t="inlineStr">
        <is>
          <t>VALE3.SA</t>
        </is>
      </c>
      <c r="C13" s="3" t="inlineStr">
        <is>
          <t>Commodity</t>
        </is>
      </c>
      <c r="D13" s="4" t="n">
        <v>0.2293840952199555</v>
      </c>
      <c r="E13" s="3" t="n">
        <v>0.3576701065686228</v>
      </c>
      <c r="F13" s="4" t="n">
        <v>-0.02194477281789341</v>
      </c>
      <c r="G13" s="3" t="n">
        <v>0.4075925221334866</v>
      </c>
      <c r="H13" s="5" t="n">
        <v>5.239386228560235</v>
      </c>
      <c r="I13" s="4" t="n">
        <v>-0.2009725541832614</v>
      </c>
    </row>
    <row r="14">
      <c r="A14" t="inlineStr"/>
      <c r="B14" s="3" t="inlineStr">
        <is>
          <t>WEGE3.SA</t>
        </is>
      </c>
      <c r="C14" s="3" t="inlineStr">
        <is>
          <t>Defensiva</t>
        </is>
      </c>
      <c r="D14" s="4" t="n">
        <v>0.2827136762076082</v>
      </c>
      <c r="E14" s="3" t="n">
        <v>0.488551525754746</v>
      </c>
      <c r="F14" s="4" t="n">
        <v>-0.02228702634581572</v>
      </c>
      <c r="G14" s="3" t="n">
        <v>-0.6042406019288866</v>
      </c>
      <c r="H14" s="5" t="n">
        <v>11.38470719292502</v>
      </c>
      <c r="I14" s="4" t="n">
        <v>-0.3819136683765347</v>
      </c>
    </row>
    <row r="15">
      <c r="A15" t="inlineStr"/>
      <c r="B15" t="inlineStr">
        <is>
          <t>^BVSP</t>
        </is>
      </c>
      <c r="C15" t="inlineStr">
        <is>
          <t>Benchmark</t>
        </is>
      </c>
      <c r="D15" t="n">
        <v>0.1414665708854556</v>
      </c>
      <c r="E15" t="n">
        <v>0.1846291849230518</v>
      </c>
      <c r="F15" t="n">
        <v>-0.01328604879194245</v>
      </c>
      <c r="G15" t="n">
        <v>-0.1534162318147283</v>
      </c>
      <c r="H15" t="n">
        <v>4.8306205842726</v>
      </c>
      <c r="I15" t="n">
        <v>-0.1369626630941295</v>
      </c>
    </row>
    <row r="18">
      <c r="B18" s="7" t="inlineStr">
        <is>
          <t>GLOSSÁRIO DE MÉTRICAS</t>
        </is>
      </c>
    </row>
    <row r="19">
      <c r="B19" s="8" t="inlineStr">
        <is>
          <t>Sharpe Ratio</t>
        </is>
      </c>
      <c r="C19" s="9" t="inlineStr">
        <is>
          <t>Retorno excedente por unidade de risco. Quanto maior, melhor a eficiência do ativo.</t>
        </is>
      </c>
      <c r="D19" s="10" t="n"/>
      <c r="E19" s="10" t="n"/>
      <c r="F19" s="10" t="n"/>
      <c r="G19" s="10" t="n"/>
      <c r="H19" s="10" t="n"/>
      <c r="I19" s="11" t="n"/>
    </row>
    <row r="20">
      <c r="B20" s="8" t="inlineStr">
        <is>
          <t>VaR 95% (Value at Risk)</t>
        </is>
      </c>
      <c r="C20" s="9" t="inlineStr">
        <is>
          <t>Perda máxima esperada em 1 dia (95% confiança). Ex: -2% = chance de cair mais que isso é 5%.</t>
        </is>
      </c>
      <c r="D20" s="10" t="n"/>
      <c r="E20" s="10" t="n"/>
      <c r="F20" s="10" t="n"/>
      <c r="G20" s="10" t="n"/>
      <c r="H20" s="10" t="n"/>
      <c r="I20" s="11" t="n"/>
    </row>
    <row r="21">
      <c r="B21" s="8" t="inlineStr">
        <is>
          <t>Volatilidade</t>
        </is>
      </c>
      <c r="C21" s="9" t="inlineStr">
        <is>
          <t>Mede a intensidade das oscilações do preço (Risco total).</t>
        </is>
      </c>
      <c r="D21" s="10" t="n"/>
      <c r="E21" s="10" t="n"/>
      <c r="F21" s="10" t="n"/>
      <c r="G21" s="10" t="n"/>
      <c r="H21" s="10" t="n"/>
      <c r="I21" s="11" t="n"/>
    </row>
    <row r="22">
      <c r="B22" s="8" t="inlineStr">
        <is>
          <t>Skewness (Assimetria)</t>
        </is>
      </c>
      <c r="C22" s="9" t="inlineStr">
        <is>
          <t>Mede a inclinação da curva. Negativo = maior frequência de quedas abruptas.</t>
        </is>
      </c>
      <c r="D22" s="10" t="n"/>
      <c r="E22" s="10" t="n"/>
      <c r="F22" s="10" t="n"/>
      <c r="G22" s="10" t="n"/>
      <c r="H22" s="10" t="n"/>
      <c r="I22" s="11" t="n"/>
    </row>
    <row r="23">
      <c r="B23" s="8" t="inlineStr">
        <is>
          <t>Kurtosis (Curtose)</t>
        </is>
      </c>
      <c r="C23" s="9" t="inlineStr">
        <is>
          <t>Detector de Caudas Gordas. &gt; 3 indica alta probabilidade de eventos extremos.</t>
        </is>
      </c>
      <c r="D23" s="10" t="n"/>
      <c r="E23" s="10" t="n"/>
      <c r="F23" s="10" t="n"/>
      <c r="G23" s="10" t="n"/>
      <c r="H23" s="10" t="n"/>
      <c r="I23" s="11" t="n"/>
    </row>
    <row r="24">
      <c r="B24" s="8" t="inlineStr">
        <is>
          <t>Max Drawdown</t>
        </is>
      </c>
      <c r="C24" s="9" t="inlineStr">
        <is>
          <t>A pior queda percentual registrada do topo histórico até o fundo.</t>
        </is>
      </c>
      <c r="D24" s="10" t="n"/>
      <c r="E24" s="10" t="n"/>
      <c r="F24" s="10" t="n"/>
      <c r="G24" s="10" t="n"/>
      <c r="H24" s="10" t="n"/>
      <c r="I24" s="11" t="n"/>
    </row>
  </sheetData>
  <mergeCells count="6">
    <mergeCell ref="C23:I23"/>
    <mergeCell ref="C22:I22"/>
    <mergeCell ref="C21:I21"/>
    <mergeCell ref="C20:I20"/>
    <mergeCell ref="C24:I24"/>
    <mergeCell ref="C19:I19"/>
  </mergeCells>
  <conditionalFormatting sqref="F6:F14">
    <cfRule type="dataBar" priority="1">
      <dataBar>
        <cfvo type="min"/>
        <cfvo type="max"/>
        <color rgb="00FF6384"/>
      </dataBar>
    </cfRule>
  </conditionalFormatting>
  <conditionalFormatting sqref="E6:E14">
    <cfRule type="dataBar" priority="2">
      <dataBar>
        <cfvo type="min"/>
        <cfvo type="max"/>
        <color rgb="0036A2EB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2026-01-16T01:16:32Z</dcterms:created>
  <dcterms:modified xmlns:dcterms="http://purl.org/dc/terms/" xmlns:xsi="http://www.w3.org/2001/XMLSchema-instance" xsi:type="dcterms:W3CDTF">2026-01-16T01:16:32Z</dcterms:modified>
</cp:coreProperties>
</file>